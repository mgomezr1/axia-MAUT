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u" sheetId="1" r:id="rId1"/>
    <sheet name="Criterios" sheetId="2" r:id="rId2"/>
    <sheet name="Desempeno" sheetId="3" r:id="rId3"/>
    <sheet name="U01_TIR" sheetId="4" r:id="rId4"/>
    <sheet name="U02_Inversión inicial" sheetId="5" r:id="rId5"/>
    <sheet name="U03_Riesgo" sheetId="6" r:id="rId6"/>
    <sheet name="U04_Plazo de recuperación" sheetId="7" r:id="rId7"/>
    <sheet name="Agregacion" sheetId="8" r:id="rId8"/>
    <sheet name="Resultado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0.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cols>
    <col min="1" max="1" width="42.83203125" customWidth="1"/>
    <col min="2" max="2" width="90.83203125" customWidth="1"/>
  </cols>
  <sheetData>
    <row r="1">
      <c r="A1" t="str">
        <v>Axía MAUT</v>
      </c>
    </row>
    <row r="2">
      <c r="A2" t="str">
        <v>Resultados de la Teoría de la Utilidad Multiatributo (modelo aditivo)</v>
      </c>
    </row>
    <row r="4">
      <c r="A4" t="str">
        <v>Objetivo</v>
      </c>
      <c r="B4" t="str">
        <v>[Datos de prueba] Seleccionar el proyecto de inversión más conveniente</v>
      </c>
    </row>
    <row r="5">
      <c r="A5" t="str">
        <v>Origen de los datos</v>
      </c>
      <c r="B5" t="str">
        <v>Datos de prueba generados por la aplicación, escenario «Prueba 3: selección de proyecto de inversión (4 × 4, las cuatro funciones)»; son ficticios</v>
      </c>
    </row>
    <row r="6">
      <c r="A6" t="str">
        <v>Modelo</v>
      </c>
      <c r="B6" t="str">
        <v>Aditivo: U(a) = suma de w_j × u_j(x_aj)</v>
      </c>
    </row>
    <row r="7">
      <c r="A7" t="str">
        <v>Fecha del cálculo</v>
      </c>
      <c r="B7" t="str">
        <v>26/9/2026, 1:38:46 p. m.</v>
      </c>
    </row>
    <row r="8">
      <c r="A8" t="str">
        <v>Número de criterios</v>
      </c>
      <c r="B8" s="1">
        <v>4</v>
      </c>
    </row>
    <row r="9">
      <c r="A9" t="str">
        <v>Número de alternativas</v>
      </c>
      <c r="B9" s="1">
        <v>4</v>
      </c>
    </row>
    <row r="10">
      <c r="A10" t="str">
        <v>Alternativa con mayor utilidad global</v>
      </c>
      <c r="B10" t="str">
        <v>Proyecto Logístico</v>
      </c>
    </row>
    <row r="11">
      <c r="A11" t="str">
        <v>Utilidad global de la primera alternativa</v>
      </c>
      <c r="B11" s="2">
        <v>0.7796377556119068</v>
      </c>
    </row>
    <row r="12">
      <c r="A12" t="str">
        <v>Diferencia entre el primero y el segundo</v>
      </c>
      <c r="B12" s="2">
        <v>0.10262984492173033</v>
      </c>
    </row>
    <row r="13">
      <c r="A13" t="str">
        <v>Alternativas dominadas</v>
      </c>
      <c r="B13" s="1">
        <v>0</v>
      </c>
    </row>
    <row r="14">
      <c r="A14" t="str">
        <v>Desempeños fuera del rango manual</v>
      </c>
      <c r="B14" s="1">
        <v>0</v>
      </c>
    </row>
    <row r="16">
      <c r="A16" t="str">
        <v>Contenido del libro</v>
      </c>
    </row>
    <row r="17">
      <c r="A17" t="str">
        <v>Hoja</v>
      </c>
      <c r="B17" t="str">
        <v>Contenido</v>
      </c>
    </row>
    <row r="18">
      <c r="A18" t="str">
        <v>Criterios</v>
      </c>
      <c r="B18" t="str">
        <v>Sentido, pesos, función de utilidad y rango de cada criterio</v>
      </c>
    </row>
    <row r="19">
      <c r="A19" t="str">
        <v>Desempeno</v>
      </c>
      <c r="B19" t="str">
        <v>Matriz de desempeño en unidades originales</v>
      </c>
    </row>
    <row r="20">
      <c r="A20" t="str">
        <v>U01_TIR</v>
      </c>
      <c r="B20" t="str">
        <v>Función de utilidad de «TIR» (exponencial) con fórmulas</v>
      </c>
    </row>
    <row r="21">
      <c r="A21" t="str">
        <v>U02_Inversión inicial</v>
      </c>
      <c r="B21" t="str">
        <v>Función de utilidad de «Inversión inicial» (lineal) con fórmulas</v>
      </c>
    </row>
    <row r="22">
      <c r="A22" t="str">
        <v>U03_Riesgo</v>
      </c>
      <c r="B22" t="str">
        <v>Función de utilidad de «Riesgo» (discreta por niveles) con fórmulas</v>
      </c>
    </row>
    <row r="23">
      <c r="A23" t="str">
        <v>U04_Plazo de recuperación</v>
      </c>
      <c r="B23" t="str">
        <v>Función de utilidad de «Plazo de recuperación» (por tramos) con fórmulas</v>
      </c>
    </row>
    <row r="24">
      <c r="A24" t="str">
        <v>Agregacion</v>
      </c>
      <c r="B24" t="str">
        <v>Utilidades, pesos, aportes y utilidad global con SUMAPRODUCTO</v>
      </c>
    </row>
    <row r="25">
      <c r="A25" t="str">
        <v>Resultado</v>
      </c>
      <c r="B25" t="str">
        <v>Clasificación, estabilidad de la recomendación y dominancia</v>
      </c>
    </row>
    <row r="27">
      <c r="A27" t="str">
        <v>Software</v>
      </c>
      <c r="B27" t="str">
        <v>Axía MAUT versión 1.0</v>
      </c>
    </row>
    <row r="28">
      <c r="A28" t="str">
        <v>Autor</v>
      </c>
      <c r="B28" t="str">
        <v>Mario Sergio Gómez Rueda</v>
      </c>
    </row>
    <row r="29">
      <c r="A29" t="str">
        <v>Contacto</v>
      </c>
      <c r="B29" t="str">
        <v>mgomezr1@gmail.com</v>
      </c>
    </row>
    <row r="30">
      <c r="A30" t="str">
        <v>Nota</v>
      </c>
      <c r="B30" t="str">
        <v>Este aplicativo fue desarrollado por Mario Sergio Gómez Rueda. Su uso es de carácter académico y cualquier otro uso se regirá por el derecho de la propiedad intelectual. Sugerencias o dudas: mgomezr1@gmail.com</v>
      </c>
    </row>
    <row r="31">
      <c r="A31" t="str">
        <v>Advertencia</v>
      </c>
      <c r="B31" t="str">
        <v>Datos de prueba generados por la aplicación; son ficticios y no representan una decisión real.</v>
      </c>
    </row>
  </sheetData>
  <hyperlinks>
    <hyperlink ref="A18" location="'Criterios'!A1" tooltip="Ir a la hoja"/>
    <hyperlink ref="A19" location="'Desempeno'!A1" tooltip="Ir a la hoja"/>
    <hyperlink ref="A20" location="'U01_TIR'!A1" tooltip="Ir a la hoja"/>
    <hyperlink ref="A21" location="'U02_Inversión inicial'!A1" tooltip="Ir a la hoja"/>
    <hyperlink ref="A22" location="'U03_Riesgo'!A1" tooltip="Ir a la hoja"/>
    <hyperlink ref="A23" location="'U04_Plazo de recuperación'!A1" tooltip="Ir a la hoja"/>
    <hyperlink ref="A24" location="'Agregacion'!A1" tooltip="Ir a la hoja"/>
    <hyperlink ref="A25" location="'Resultado'!A1" tooltip="Ir a la hoja"/>
  </hyperlinks>
  <ignoredErrors>
    <ignoredError numberStoredAsText="1" sqref="A1:B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cols>
    <col min="1" max="1" width="5.83203125" customWidth="1"/>
    <col min="2" max="2" width="28.83203125" customWidth="1"/>
    <col min="3" max="3" width="12.83203125" customWidth="1"/>
    <col min="4" max="4" width="14.83203125" customWidth="1"/>
    <col min="5" max="5" width="10.83203125" customWidth="1"/>
    <col min="6" max="6" width="20.83203125" customWidth="1"/>
    <col min="7" max="7" width="18.83203125" customWidth="1"/>
    <col min="8" max="8" width="18.83203125" customWidth="1"/>
    <col min="9" max="9" width="48.83203125" customWidth="1"/>
    <col min="10" max="10" width="26.83203125" customWidth="1"/>
  </cols>
  <sheetData>
    <row r="1">
      <c r="A1" t="str">
        <v>Criterios, pesos y funciones de utilidad</v>
      </c>
    </row>
    <row r="2">
      <c r="A2" t="str">
        <v>Volver al menú</v>
      </c>
    </row>
    <row r="4">
      <c r="A4" t="str">
        <v>#</v>
      </c>
      <c r="B4" t="str">
        <v>Criterio</v>
      </c>
      <c r="C4" t="str">
        <v>Unidad</v>
      </c>
      <c r="D4" t="str">
        <v>Sentido</v>
      </c>
      <c r="E4" t="str">
        <v>Peso</v>
      </c>
      <c r="F4" t="str">
        <v>Función</v>
      </c>
      <c r="G4" t="str">
        <v>Peor nivel (u = 0)</v>
      </c>
      <c r="H4" t="str">
        <v>Mejor nivel (u = 1)</v>
      </c>
      <c r="I4" t="str">
        <v>Parámetros</v>
      </c>
      <c r="J4" t="str">
        <v>Hoja</v>
      </c>
    </row>
    <row r="5">
      <c r="A5" s="1">
        <v>1</v>
      </c>
      <c r="B5" t="str">
        <v>TIR</v>
      </c>
      <c r="C5" t="str">
        <v>%</v>
      </c>
      <c r="D5" t="str">
        <v>Maximizar</v>
      </c>
      <c r="E5" s="2">
        <v>0.35</v>
      </c>
      <c r="F5" t="str">
        <v>Exponencial</v>
      </c>
      <c r="G5">
        <v>5</v>
      </c>
      <c r="H5">
        <v>25</v>
      </c>
      <c r="I5" t="str">
        <v>Rango manual; c = 1,500</v>
      </c>
      <c r="J5" t="str">
        <v>U01_TIR</v>
      </c>
    </row>
    <row r="6">
      <c r="A6" s="1">
        <v>2</v>
      </c>
      <c r="B6" t="str">
        <v>Inversión inicial</v>
      </c>
      <c r="C6" t="str">
        <v>millones COP</v>
      </c>
      <c r="D6" t="str">
        <v>Minimizar</v>
      </c>
      <c r="E6" s="2">
        <v>0.25</v>
      </c>
      <c r="F6" t="str">
        <v>Lineal</v>
      </c>
      <c r="G6">
        <v>1200</v>
      </c>
      <c r="H6">
        <v>400</v>
      </c>
      <c r="I6" t="str">
        <v>Rango manual</v>
      </c>
      <c r="J6" t="str">
        <v>U02_Inversión inicial</v>
      </c>
    </row>
    <row r="7">
      <c r="A7" s="1">
        <v>3</v>
      </c>
      <c r="B7" t="str">
        <v>Riesgo</v>
      </c>
      <c r="D7" t="str">
        <v>Por niveles</v>
      </c>
      <c r="E7" s="2">
        <v>0.25</v>
      </c>
      <c r="F7" t="str">
        <v>Discreta por niveles</v>
      </c>
      <c r="G7" t="str">
        <v>No aplica</v>
      </c>
      <c r="H7" t="str">
        <v>No aplica</v>
      </c>
      <c r="I7" t="str">
        <v>Alto = 0,00; Medio = 0,55; Bajo = 1,00</v>
      </c>
      <c r="J7" t="str">
        <v>U03_Riesgo</v>
      </c>
    </row>
    <row r="8">
      <c r="A8" s="1">
        <v>4</v>
      </c>
      <c r="B8" t="str">
        <v>Plazo de recuperación</v>
      </c>
      <c r="C8" t="str">
        <v>años</v>
      </c>
      <c r="D8" t="str">
        <v>Minimizar</v>
      </c>
      <c r="E8" s="2">
        <v>0.15</v>
      </c>
      <c r="F8" t="str">
        <v>Por tramos</v>
      </c>
      <c r="G8">
        <v>8</v>
      </c>
      <c r="H8">
        <v>2</v>
      </c>
      <c r="I8" t="str">
        <v>Rango manual; puntos (6,5; 0,45), (5; 0,75), (3,5; 0,92)</v>
      </c>
      <c r="J8" t="str">
        <v>U04_Plazo de recuperación</v>
      </c>
    </row>
    <row r="9">
      <c r="B9" t="str">
        <v>Suma de pesos</v>
      </c>
      <c r="E9" s="2">
        <f>SUM(E5:E8)</f>
        <v>1</v>
      </c>
    </row>
    <row r="11">
      <c r="A11" t="str">
        <v>Los pesos se usan en la hoja Agregacion. Un peso indica cuánto vale pasar del peor al mejor nivel de su criterio; si cambia el rango, conviene revisar el peso.</v>
      </c>
    </row>
  </sheetData>
  <hyperlinks>
    <hyperlink ref="A2" location="'Menu'!A1" tooltip="Ir al menú"/>
    <hyperlink ref="J5" location="'U01_TIR'!A1" tooltip="Ir a la hoja"/>
    <hyperlink ref="J6" location="'U02_Inversión inicial'!A1" tooltip="Ir a la hoja"/>
    <hyperlink ref="J7" location="'U03_Riesgo'!A1" tooltip="Ir a la hoja"/>
    <hyperlink ref="J8" location="'U04_Plazo de recuperación'!A1" tooltip="Ir a la hoja"/>
  </hyperlinks>
  <ignoredErrors>
    <ignoredError numberStoredAsText="1" sqref="A1:J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30.83203125" customWidth="1"/>
    <col min="2" max="2" width="14.83203125" customWidth="1"/>
    <col min="3" max="3" width="21.83203125" customWidth="1"/>
    <col min="4" max="4" width="14.83203125" customWidth="1"/>
    <col min="5" max="5" width="25.83203125" customWidth="1"/>
  </cols>
  <sheetData>
    <row r="1">
      <c r="A1" t="str">
        <v>Matriz de desempeño</v>
      </c>
    </row>
    <row r="2">
      <c r="A2" t="str">
        <v>Volver al menú</v>
      </c>
    </row>
    <row r="4">
      <c r="A4" t="str">
        <v>Alternativa</v>
      </c>
      <c r="B4" t="str">
        <v>TIR (%)</v>
      </c>
      <c r="C4" t="str">
        <v>Inversión inicial (millones COP)</v>
      </c>
      <c r="D4" t="str">
        <v>Riesgo</v>
      </c>
      <c r="E4" t="str">
        <v>Plazo de recuperación (años)</v>
      </c>
    </row>
    <row r="5">
      <c r="A5" t="str">
        <v>Proyecto Solar</v>
      </c>
      <c r="B5">
        <v>18</v>
      </c>
      <c r="C5">
        <v>950</v>
      </c>
      <c r="D5" t="str">
        <v>Medio</v>
      </c>
      <c r="E5">
        <v>6</v>
      </c>
    </row>
    <row r="6">
      <c r="A6" t="str">
        <v>Proyecto Logístico</v>
      </c>
      <c r="B6">
        <v>14</v>
      </c>
      <c r="C6">
        <v>600</v>
      </c>
      <c r="D6" t="str">
        <v>Bajo</v>
      </c>
      <c r="E6">
        <v>4.5</v>
      </c>
    </row>
    <row r="7">
      <c r="A7" t="str">
        <v>Proyecto Digital</v>
      </c>
      <c r="B7">
        <v>23</v>
      </c>
      <c r="C7">
        <v>1100</v>
      </c>
      <c r="D7" t="str">
        <v>Alto</v>
      </c>
      <c r="E7">
        <v>3</v>
      </c>
    </row>
    <row r="8">
      <c r="A8" t="str">
        <v>Proyecto Inmobiliario</v>
      </c>
      <c r="B8">
        <v>11</v>
      </c>
      <c r="C8">
        <v>500</v>
      </c>
      <c r="D8" t="str">
        <v>Bajo</v>
      </c>
      <c r="E8">
        <v>7</v>
      </c>
    </row>
  </sheetData>
  <hyperlinks>
    <hyperlink ref="A2" location="'Menu'!A1" tooltip="Ir al menú"/>
  </hyperlinks>
  <ignoredErrors>
    <ignoredError numberStoredAsText="1" sqref="A1:E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cols>
    <col min="1" max="1" width="28.83203125" customWidth="1"/>
    <col min="2" max="2" width="16.83203125" customWidth="1"/>
    <col min="3" max="3" width="30.83203125" customWidth="1"/>
    <col min="4" max="4" width="20.83203125" customWidth="1"/>
    <col min="5" max="5" width="14.83203125" customWidth="1"/>
    <col min="6" max="6" width="26.83203125" customWidth="1"/>
  </cols>
  <sheetData>
    <row r="1">
      <c r="A1" t="str">
        <v>Función de utilidad de «TIR»</v>
      </c>
    </row>
    <row r="2">
      <c r="A2" t="str">
        <v>Volver al menú</v>
      </c>
    </row>
    <row r="4">
      <c r="A4" t="str">
        <v>A. Parámetros</v>
      </c>
    </row>
    <row r="5">
      <c r="A5" t="str">
        <v>Sentido</v>
      </c>
      <c r="B5" t="str">
        <v>Maximizar</v>
      </c>
    </row>
    <row r="6">
      <c r="A6" t="str">
        <v>Función</v>
      </c>
      <c r="B6" t="str">
        <v>Exponencial</v>
      </c>
    </row>
    <row r="7">
      <c r="A7" t="str">
        <v>Peor nivel (u = 0)</v>
      </c>
      <c r="B7">
        <v>5</v>
      </c>
      <c r="C7" t="str">
        <v>Rango manual</v>
      </c>
    </row>
    <row r="8">
      <c r="A8" t="str">
        <v>Mejor nivel (u = 1)</v>
      </c>
      <c r="B8">
        <v>25</v>
      </c>
    </row>
    <row r="9">
      <c r="A9" t="str">
        <v>Coeficiente de forma c</v>
      </c>
      <c r="B9" s="2">
        <v>1.5</v>
      </c>
      <c r="C9" t="str">
        <v>u = (1 − EXP(−c·z)) / (1 − EXP(−c)); si c = 0, u = z</v>
      </c>
    </row>
    <row r="11">
      <c r="A11" t="str">
        <v>B. Utilidad de cada alternativa</v>
      </c>
    </row>
    <row r="12">
      <c r="A12" t="str">
        <v>Alternativa</v>
      </c>
      <c r="B12" t="str">
        <v>Desempeño x</v>
      </c>
      <c r="C12" t="str">
        <v>z = (x − peor) / (mejor − peor)</v>
      </c>
      <c r="D12" t="str">
        <v>z acotado a [0, 1]</v>
      </c>
      <c r="E12" t="str">
        <v>Utilidad u</v>
      </c>
    </row>
    <row r="13">
      <c r="A13" t="str">
        <v>Proyecto Solar</v>
      </c>
      <c r="B13">
        <f>'Desempeno'!B5</f>
        <v>18</v>
      </c>
      <c r="C13" s="2">
        <f>(B13-$B$7)/($B$8-$B$7)</f>
        <v>0.65</v>
      </c>
      <c r="D13" s="2">
        <f>MAX(0,MIN(1,C13))</f>
        <v>0.65</v>
      </c>
      <c r="E13" s="2">
        <f>IF(ABS($B$9)&lt;0.000000001,D13,(1-EXP(-$B$9*D13))/(1-EXP(-$B$9)))</f>
        <v>0.8016885383989646</v>
      </c>
    </row>
    <row r="14">
      <c r="A14" t="str">
        <v>Proyecto Logístico</v>
      </c>
      <c r="B14">
        <f>'Desempeno'!B6</f>
        <v>14</v>
      </c>
      <c r="C14" s="2">
        <f>(B14-$B$7)/($B$8-$B$7)</f>
        <v>0.45</v>
      </c>
      <c r="D14" s="2">
        <f>MAX(0,MIN(1,C14))</f>
        <v>0.45</v>
      </c>
      <c r="E14" s="2">
        <f>IF(ABS($B$9)&lt;0.000000001,D14,(1-EXP(-$B$9*D14))/(1-EXP(-$B$9)))</f>
        <v>0.6318221588911626</v>
      </c>
    </row>
    <row r="15">
      <c r="A15" t="str">
        <v>Proyecto Digital</v>
      </c>
      <c r="B15">
        <f>'Desempeno'!B7</f>
        <v>23</v>
      </c>
      <c r="C15" s="2">
        <f>(B15-$B$7)/($B$8-$B$7)</f>
        <v>0.9</v>
      </c>
      <c r="D15" s="2">
        <f>MAX(0,MIN(1,C15))</f>
        <v>0.9</v>
      </c>
      <c r="E15" s="2">
        <f>IF(ABS($B$9)&lt;0.000000001,D15,(1-EXP(-$B$9*D15))/(1-EXP(-$B$9)))</f>
        <v>0.9535184677727212</v>
      </c>
    </row>
    <row r="16">
      <c r="A16" t="str">
        <v>Proyecto Inmobiliario</v>
      </c>
      <c r="B16">
        <f>'Desempeno'!B8</f>
        <v>11</v>
      </c>
      <c r="C16" s="2">
        <f>(B16-$B$7)/($B$8-$B$7)</f>
        <v>0.3</v>
      </c>
      <c r="D16" s="2">
        <f>MAX(0,MIN(1,C16))</f>
        <v>0.3</v>
      </c>
      <c r="E16" s="2">
        <f>IF(ABS($B$9)&lt;0.000000001,D16,(1-EXP(-$B$9*D16))/(1-EXP(-$B$9)))</f>
        <v>0.4664511734005042</v>
      </c>
    </row>
  </sheetData>
  <hyperlinks>
    <hyperlink ref="A2" location="'Menu'!A1" tooltip="Ir al menú"/>
  </hyperlinks>
  <ignoredErrors>
    <ignoredError numberStoredAsText="1" sqref="A1:E1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cols>
    <col min="1" max="1" width="28.83203125" customWidth="1"/>
    <col min="2" max="2" width="16.83203125" customWidth="1"/>
    <col min="3" max="3" width="30.83203125" customWidth="1"/>
    <col min="4" max="4" width="20.83203125" customWidth="1"/>
    <col min="5" max="5" width="14.83203125" customWidth="1"/>
    <col min="6" max="6" width="26.83203125" customWidth="1"/>
  </cols>
  <sheetData>
    <row r="1">
      <c r="A1" t="str">
        <v>Función de utilidad de «Inversión inicial»</v>
      </c>
    </row>
    <row r="2">
      <c r="A2" t="str">
        <v>Volver al menú</v>
      </c>
    </row>
    <row r="4">
      <c r="A4" t="str">
        <v>A. Parámetros</v>
      </c>
    </row>
    <row r="5">
      <c r="A5" t="str">
        <v>Sentido</v>
      </c>
      <c r="B5" t="str">
        <v>Minimizar</v>
      </c>
    </row>
    <row r="6">
      <c r="A6" t="str">
        <v>Función</v>
      </c>
      <c r="B6" t="str">
        <v>Lineal</v>
      </c>
    </row>
    <row r="7">
      <c r="A7" t="str">
        <v>Peor nivel (u = 0)</v>
      </c>
      <c r="B7">
        <v>1200</v>
      </c>
      <c r="C7" t="str">
        <v>Rango manual</v>
      </c>
    </row>
    <row r="8">
      <c r="A8" t="str">
        <v>Mejor nivel (u = 1)</v>
      </c>
      <c r="B8">
        <v>400</v>
      </c>
    </row>
    <row r="11">
      <c r="A11" t="str">
        <v>B. Utilidad de cada alternativa</v>
      </c>
    </row>
    <row r="12">
      <c r="A12" t="str">
        <v>Alternativa</v>
      </c>
      <c r="B12" t="str">
        <v>Desempeño x</v>
      </c>
      <c r="C12" t="str">
        <v>z = (x − peor) / (mejor − peor)</v>
      </c>
      <c r="D12" t="str">
        <v>z acotado a [0, 1]</v>
      </c>
      <c r="E12" t="str">
        <v>Utilidad u</v>
      </c>
    </row>
    <row r="13">
      <c r="A13" t="str">
        <v>Proyecto Solar</v>
      </c>
      <c r="B13">
        <f>'Desempeno'!C5</f>
        <v>950</v>
      </c>
      <c r="C13" s="2">
        <f>(B13-$B$7)/($B$8-$B$7)</f>
        <v>0.3125</v>
      </c>
      <c r="D13" s="2">
        <f>MAX(0,MIN(1,C13))</f>
        <v>0.3125</v>
      </c>
      <c r="E13" s="2">
        <f>D13</f>
        <v>0.3125</v>
      </c>
    </row>
    <row r="14">
      <c r="A14" t="str">
        <v>Proyecto Logístico</v>
      </c>
      <c r="B14">
        <f>'Desempeno'!C6</f>
        <v>600</v>
      </c>
      <c r="C14" s="2">
        <f>(B14-$B$7)/($B$8-$B$7)</f>
        <v>0.75</v>
      </c>
      <c r="D14" s="2">
        <f>MAX(0,MIN(1,C14))</f>
        <v>0.75</v>
      </c>
      <c r="E14" s="2">
        <f>D14</f>
        <v>0.75</v>
      </c>
    </row>
    <row r="15">
      <c r="A15" t="str">
        <v>Proyecto Digital</v>
      </c>
      <c r="B15">
        <f>'Desempeno'!C7</f>
        <v>1100</v>
      </c>
      <c r="C15" s="2">
        <f>(B15-$B$7)/($B$8-$B$7)</f>
        <v>0.125</v>
      </c>
      <c r="D15" s="2">
        <f>MAX(0,MIN(1,C15))</f>
        <v>0.125</v>
      </c>
      <c r="E15" s="2">
        <f>D15</f>
        <v>0.125</v>
      </c>
    </row>
    <row r="16">
      <c r="A16" t="str">
        <v>Proyecto Inmobiliario</v>
      </c>
      <c r="B16">
        <f>'Desempeno'!C8</f>
        <v>500</v>
      </c>
      <c r="C16" s="2">
        <f>(B16-$B$7)/($B$8-$B$7)</f>
        <v>0.875</v>
      </c>
      <c r="D16" s="2">
        <f>MAX(0,MIN(1,C16))</f>
        <v>0.875</v>
      </c>
      <c r="E16" s="2">
        <f>D16</f>
        <v>0.875</v>
      </c>
    </row>
  </sheetData>
  <hyperlinks>
    <hyperlink ref="A2" location="'Menu'!A1" tooltip="Ir al menú"/>
  </hyperlinks>
  <ignoredErrors>
    <ignoredError numberStoredAsText="1" sqref="A1:E1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cols>
    <col min="1" max="1" width="28.83203125" customWidth="1"/>
    <col min="2" max="2" width="16.83203125" customWidth="1"/>
    <col min="3" max="3" width="30.83203125" customWidth="1"/>
    <col min="4" max="4" width="20.83203125" customWidth="1"/>
    <col min="5" max="5" width="14.83203125" customWidth="1"/>
    <col min="6" max="6" width="26.83203125" customWidth="1"/>
  </cols>
  <sheetData>
    <row r="1">
      <c r="A1" t="str">
        <v>Función de utilidad de «Riesgo»</v>
      </c>
    </row>
    <row r="2">
      <c r="A2" t="str">
        <v>Volver al menú</v>
      </c>
    </row>
    <row r="4">
      <c r="A4" t="str">
        <v>A. Parámetros</v>
      </c>
    </row>
    <row r="5">
      <c r="A5" t="str">
        <v>Sentido</v>
      </c>
      <c r="B5" t="str">
        <v>Por niveles</v>
      </c>
    </row>
    <row r="6">
      <c r="A6" t="str">
        <v>Función</v>
      </c>
      <c r="B6" t="str">
        <v>Discreta por niveles</v>
      </c>
    </row>
    <row r="7">
      <c r="A7" t="str">
        <v>Peor y mejor nivel</v>
      </c>
      <c r="B7" t="str">
        <v>No aplica: la utilidad de cada nivel se define directamente</v>
      </c>
    </row>
    <row r="10">
      <c r="A10" t="str">
        <v>B. Escala de niveles</v>
      </c>
    </row>
    <row r="11">
      <c r="A11" t="str">
        <v>Nivel</v>
      </c>
      <c r="B11" t="str">
        <v>Utilidad</v>
      </c>
    </row>
    <row r="12">
      <c r="A12" t="str">
        <v>Alto</v>
      </c>
      <c r="B12" s="2">
        <v>0</v>
      </c>
    </row>
    <row r="13">
      <c r="A13" t="str">
        <v>Medio</v>
      </c>
      <c r="B13" s="2">
        <v>0.55</v>
      </c>
    </row>
    <row r="14">
      <c r="A14" t="str">
        <v>Bajo</v>
      </c>
      <c r="B14" s="2">
        <v>1</v>
      </c>
    </row>
    <row r="16">
      <c r="A16" t="str">
        <v>C. Utilidad de cada alternativa</v>
      </c>
    </row>
    <row r="17">
      <c r="A17" t="str">
        <v>Alternativa</v>
      </c>
      <c r="B17" t="str">
        <v>Desempeño x</v>
      </c>
      <c r="C17" t="str">
        <v>z = (x − peor) / (mejor − peor)</v>
      </c>
      <c r="D17" t="str">
        <v>z acotado a [0, 1]</v>
      </c>
      <c r="E17" t="str">
        <v>Utilidad u</v>
      </c>
    </row>
    <row r="18">
      <c r="A18" t="str">
        <v>Proyecto Solar</v>
      </c>
      <c r="B18" t="str">
        <f>'Desempeno'!D5</f>
        <v>Medio</v>
      </c>
      <c r="C18" t="str">
        <v>No aplica</v>
      </c>
      <c r="D18" t="str">
        <v>No aplica</v>
      </c>
      <c r="E18" s="2">
        <f>VLOOKUP(B18,$A$12:$B$14,2,FALSE)</f>
        <v>0.55</v>
      </c>
    </row>
    <row r="19">
      <c r="A19" t="str">
        <v>Proyecto Logístico</v>
      </c>
      <c r="B19" t="str">
        <f>'Desempeno'!D6</f>
        <v>Bajo</v>
      </c>
      <c r="C19" t="str">
        <v>No aplica</v>
      </c>
      <c r="D19" t="str">
        <v>No aplica</v>
      </c>
      <c r="E19" s="2">
        <f>VLOOKUP(B19,$A$12:$B$14,2,FALSE)</f>
        <v>1</v>
      </c>
    </row>
    <row r="20">
      <c r="A20" t="str">
        <v>Proyecto Digital</v>
      </c>
      <c r="B20" t="str">
        <f>'Desempeno'!D7</f>
        <v>Alto</v>
      </c>
      <c r="C20" t="str">
        <v>No aplica</v>
      </c>
      <c r="D20" t="str">
        <v>No aplica</v>
      </c>
      <c r="E20" s="2">
        <f>VLOOKUP(B20,$A$12:$B$14,2,FALSE)</f>
        <v>0</v>
      </c>
    </row>
    <row r="21">
      <c r="A21" t="str">
        <v>Proyecto Inmobiliario</v>
      </c>
      <c r="B21" t="str">
        <f>'Desempeno'!D8</f>
        <v>Bajo</v>
      </c>
      <c r="C21" t="str">
        <v>No aplica</v>
      </c>
      <c r="D21" t="str">
        <v>No aplica</v>
      </c>
      <c r="E21" s="2">
        <f>VLOOKUP(B21,$A$12:$B$14,2,FALSE)</f>
        <v>1</v>
      </c>
    </row>
  </sheetData>
  <hyperlinks>
    <hyperlink ref="A2" location="'Menu'!A1" tooltip="Ir al menú"/>
  </hyperlinks>
  <ignoredErrors>
    <ignoredError numberStoredAsText="1" sqref="A1:E2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cols>
    <col min="1" max="1" width="28.83203125" customWidth="1"/>
    <col min="2" max="2" width="16.83203125" customWidth="1"/>
    <col min="3" max="3" width="30.83203125" customWidth="1"/>
    <col min="4" max="4" width="20.83203125" customWidth="1"/>
    <col min="5" max="5" width="14.83203125" customWidth="1"/>
    <col min="6" max="6" width="26.83203125" customWidth="1"/>
  </cols>
  <sheetData>
    <row r="1">
      <c r="A1" t="str">
        <v>Función de utilidad de «Plazo de recuperación»</v>
      </c>
    </row>
    <row r="2">
      <c r="A2" t="str">
        <v>Volver al menú</v>
      </c>
    </row>
    <row r="4">
      <c r="A4" t="str">
        <v>A. Parámetros</v>
      </c>
    </row>
    <row r="5">
      <c r="A5" t="str">
        <v>Sentido</v>
      </c>
      <c r="B5" t="str">
        <v>Minimizar</v>
      </c>
    </row>
    <row r="6">
      <c r="A6" t="str">
        <v>Función</v>
      </c>
      <c r="B6" t="str">
        <v>Por tramos</v>
      </c>
    </row>
    <row r="7">
      <c r="A7" t="str">
        <v>Peor nivel (u = 0)</v>
      </c>
      <c r="B7">
        <v>8</v>
      </c>
      <c r="C7" t="str">
        <v>Rango manual</v>
      </c>
    </row>
    <row r="8">
      <c r="A8" t="str">
        <v>Mejor nivel (u = 1)</v>
      </c>
      <c r="B8">
        <v>2</v>
      </c>
    </row>
    <row r="10">
      <c r="A10" t="str">
        <v>B. Nodos de la función por tramos</v>
      </c>
    </row>
    <row r="11">
      <c r="A11" t="str">
        <v>Nodo</v>
      </c>
      <c r="B11" t="str">
        <v>Desempeño x</v>
      </c>
      <c r="C11" t="str">
        <v>z = (x − peor) / (mejor − peor)</v>
      </c>
      <c r="D11" t="str">
        <v>Utilidad u</v>
      </c>
    </row>
    <row r="12">
      <c r="A12" t="str">
        <v>Peor nivel</v>
      </c>
      <c r="B12">
        <f>$B$7</f>
        <v>8</v>
      </c>
      <c r="C12" s="2">
        <f>(B12-$B$7)/($B$8-$B$7)</f>
        <v>0</v>
      </c>
      <c r="D12" s="2">
        <v>0</v>
      </c>
    </row>
    <row r="13">
      <c r="A13" t="str">
        <v>Punto 1</v>
      </c>
      <c r="B13">
        <v>6.5</v>
      </c>
      <c r="C13" s="2">
        <f>(B13-$B$7)/($B$8-$B$7)</f>
        <v>0.25</v>
      </c>
      <c r="D13" s="2">
        <v>0.45</v>
      </c>
    </row>
    <row r="14">
      <c r="A14" t="str">
        <v>Punto 2</v>
      </c>
      <c r="B14">
        <v>5</v>
      </c>
      <c r="C14" s="2">
        <f>(B14-$B$7)/($B$8-$B$7)</f>
        <v>0.5</v>
      </c>
      <c r="D14" s="2">
        <v>0.75</v>
      </c>
    </row>
    <row r="15">
      <c r="A15" t="str">
        <v>Punto 3</v>
      </c>
      <c r="B15">
        <v>3.5</v>
      </c>
      <c r="C15" s="2">
        <f>(B15-$B$7)/($B$8-$B$7)</f>
        <v>0.75</v>
      </c>
      <c r="D15" s="2">
        <v>0.92</v>
      </c>
    </row>
    <row r="16">
      <c r="A16" t="str">
        <v>Mejor nivel</v>
      </c>
      <c r="B16">
        <f>$B$8</f>
        <v>2</v>
      </c>
      <c r="C16" s="2">
        <f>(B16-$B$7)/($B$8-$B$7)</f>
        <v>1</v>
      </c>
      <c r="D16" s="2">
        <v>1</v>
      </c>
    </row>
    <row r="18">
      <c r="A18" t="str">
        <v>C. Utilidad de cada alternativa</v>
      </c>
    </row>
    <row r="19">
      <c r="A19" t="str">
        <v>Alternativa</v>
      </c>
      <c r="B19" t="str">
        <v>Desempeño x</v>
      </c>
      <c r="C19" t="str">
        <v>z = (x − peor) / (mejor − peor)</v>
      </c>
      <c r="D19" t="str">
        <v>z acotado a [0, 1]</v>
      </c>
      <c r="E19" t="str">
        <v>Utilidad u</v>
      </c>
    </row>
    <row r="20">
      <c r="A20" t="str">
        <v>Proyecto Solar</v>
      </c>
      <c r="B20">
        <f>'Desempeno'!E5</f>
        <v>6</v>
      </c>
      <c r="C20" s="2">
        <f>(B20-$B$7)/($B$8-$B$7)</f>
        <v>0.3333333333333333</v>
      </c>
      <c r="D20" s="2">
        <f>MAX(0,MIN(1,C20))</f>
        <v>0.3333333333333333</v>
      </c>
      <c r="E20" s="2">
        <f>$D$13+($D$14-$D$13)*(D20-$C$13)/($C$14-$C$13)</f>
        <v>0.55</v>
      </c>
    </row>
    <row r="21">
      <c r="A21" t="str">
        <v>Proyecto Logístico</v>
      </c>
      <c r="B21">
        <f>'Desempeno'!E6</f>
        <v>4.5</v>
      </c>
      <c r="C21" s="2">
        <f>(B21-$B$7)/($B$8-$B$7)</f>
        <v>0.5833333333333334</v>
      </c>
      <c r="D21" s="2">
        <f>MAX(0,MIN(1,C21))</f>
        <v>0.5833333333333334</v>
      </c>
      <c r="E21" s="2">
        <f>$D$14+($D$15-$D$14)*(D21-$C$14)/($C$15-$C$14)</f>
        <v>0.8066666666666668</v>
      </c>
    </row>
    <row r="22">
      <c r="A22" t="str">
        <v>Proyecto Digital</v>
      </c>
      <c r="B22">
        <f>'Desempeno'!E7</f>
        <v>3</v>
      </c>
      <c r="C22" s="2">
        <f>(B22-$B$7)/($B$8-$B$7)</f>
        <v>0.8333333333333334</v>
      </c>
      <c r="D22" s="2">
        <f>MAX(0,MIN(1,C22))</f>
        <v>0.8333333333333334</v>
      </c>
      <c r="E22" s="2">
        <f>$D$15+($D$16-$D$15)*(D22-$C$15)/($C$16-$C$15)</f>
        <v>0.9466666666666667</v>
      </c>
    </row>
    <row r="23">
      <c r="A23" t="str">
        <v>Proyecto Inmobiliario</v>
      </c>
      <c r="B23">
        <f>'Desempeno'!E8</f>
        <v>7</v>
      </c>
      <c r="C23" s="2">
        <f>(B23-$B$7)/($B$8-$B$7)</f>
        <v>0.16666666666666666</v>
      </c>
      <c r="D23" s="2">
        <f>MAX(0,MIN(1,C23))</f>
        <v>0.16666666666666666</v>
      </c>
      <c r="E23" s="2">
        <f>$D$12+($D$13-$D$12)*(D23-$C$12)/($C$13-$C$12)</f>
        <v>0.3</v>
      </c>
    </row>
    <row r="25">
      <c r="A25" t="str">
        <v>Cada utilidad interpola entre los dos nodos del tramo que contiene su z acotado.</v>
      </c>
    </row>
  </sheetData>
  <hyperlinks>
    <hyperlink ref="A2" location="'Menu'!A1" tooltip="Ir al menú"/>
  </hyperlinks>
  <ignoredErrors>
    <ignoredError numberStoredAsText="1" sqref="A1:E2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cols>
    <col min="1" max="1" width="30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8.83203125" customWidth="1"/>
  </cols>
  <sheetData>
    <row r="1">
      <c r="A1" t="str">
        <v>Agregación aditiva: U(a) = suma de w_j × u_j</v>
      </c>
    </row>
    <row r="2">
      <c r="A2" t="str">
        <v>Volver al menú</v>
      </c>
    </row>
    <row r="3">
      <c r="A3" t="str">
        <v>A. Utilidades y utilidad global</v>
      </c>
    </row>
    <row r="4">
      <c r="A4" t="str">
        <v>Alternativa</v>
      </c>
      <c r="B4" t="str">
        <v>TIR</v>
      </c>
      <c r="C4" t="str">
        <v>Inversión inicial</v>
      </c>
      <c r="D4" t="str">
        <v>Riesgo</v>
      </c>
      <c r="E4" t="str">
        <v>Plazo de recuperación</v>
      </c>
      <c r="F4" t="str">
        <v>Utilidad global U</v>
      </c>
    </row>
    <row r="5">
      <c r="A5" t="str">
        <v>Peso del criterio</v>
      </c>
      <c r="B5" s="2">
        <f>'Criterios'!E5</f>
        <v>0.35</v>
      </c>
      <c r="C5" s="2">
        <f>'Criterios'!E6</f>
        <v>0.25</v>
      </c>
      <c r="D5" s="2">
        <f>'Criterios'!E7</f>
        <v>0.25</v>
      </c>
      <c r="E5" s="2">
        <f>'Criterios'!E8</f>
        <v>0.15</v>
      </c>
      <c r="F5" s="2">
        <f>SUM(B5:E5)</f>
        <v>1</v>
      </c>
    </row>
    <row r="6">
      <c r="A6" t="str">
        <v>Proyecto Solar</v>
      </c>
      <c r="B6" s="2">
        <f>'U01_TIR'!E13</f>
        <v>0.8016885383989646</v>
      </c>
      <c r="C6" s="2">
        <f>'U02_Inversión inicial'!E13</f>
        <v>0.3125</v>
      </c>
      <c r="D6" s="2">
        <f>'U03_Riesgo'!E18</f>
        <v>0.55</v>
      </c>
      <c r="E6" s="2">
        <f>'U04_Plazo de recuperación'!E20</f>
        <v>0.55</v>
      </c>
      <c r="F6" s="2">
        <f>SUMPRODUCT($B$5:$E$5,B6:E6)</f>
        <v>0.5787159884396376</v>
      </c>
    </row>
    <row r="7">
      <c r="A7" t="str">
        <v>Proyecto Logístico</v>
      </c>
      <c r="B7" s="2">
        <f>'U01_TIR'!E14</f>
        <v>0.6318221588911626</v>
      </c>
      <c r="C7" s="2">
        <f>'U02_Inversión inicial'!E14</f>
        <v>0.75</v>
      </c>
      <c r="D7" s="2">
        <f>'U03_Riesgo'!E19</f>
        <v>1</v>
      </c>
      <c r="E7" s="2">
        <f>'U04_Plazo de recuperación'!E21</f>
        <v>0.8066666666666668</v>
      </c>
      <c r="F7" s="2">
        <f>SUMPRODUCT($B$5:$E$5,B7:E7)</f>
        <v>0.7796377556119068</v>
      </c>
    </row>
    <row r="8">
      <c r="A8" t="str">
        <v>Proyecto Digital</v>
      </c>
      <c r="B8" s="2">
        <f>'U01_TIR'!E15</f>
        <v>0.9535184677727212</v>
      </c>
      <c r="C8" s="2">
        <f>'U02_Inversión inicial'!E15</f>
        <v>0.125</v>
      </c>
      <c r="D8" s="2">
        <f>'U03_Riesgo'!E20</f>
        <v>0</v>
      </c>
      <c r="E8" s="2">
        <f>'U04_Plazo de recuperación'!E22</f>
        <v>0.9466666666666667</v>
      </c>
      <c r="F8" s="2">
        <f>SUMPRODUCT($B$5:$E$5,B8:E8)</f>
        <v>0.5069814637204524</v>
      </c>
    </row>
    <row r="9">
      <c r="A9" t="str">
        <v>Proyecto Inmobiliario</v>
      </c>
      <c r="B9" s="2">
        <f>'U01_TIR'!E16</f>
        <v>0.4664511734005042</v>
      </c>
      <c r="C9" s="2">
        <f>'U02_Inversión inicial'!E16</f>
        <v>0.875</v>
      </c>
      <c r="D9" s="2">
        <f>'U03_Riesgo'!E21</f>
        <v>1</v>
      </c>
      <c r="E9" s="2">
        <f>'U04_Plazo de recuperación'!E23</f>
        <v>0.3</v>
      </c>
      <c r="F9" s="2">
        <f>SUMPRODUCT($B$5:$E$5,B9:E9)</f>
        <v>0.6770079106901765</v>
      </c>
    </row>
    <row r="12">
      <c r="A12" t="str">
        <v>B. Aportes ponderados (peso × utilidad)</v>
      </c>
    </row>
    <row r="13">
      <c r="A13" t="str">
        <v>Alternativa</v>
      </c>
      <c r="B13" t="str">
        <v>TIR</v>
      </c>
      <c r="C13" t="str">
        <v>Inversión inicial</v>
      </c>
      <c r="D13" t="str">
        <v>Riesgo</v>
      </c>
      <c r="E13" t="str">
        <v>Plazo de recuperación</v>
      </c>
      <c r="F13" t="str">
        <v>Suma de aportes</v>
      </c>
    </row>
    <row r="14">
      <c r="A14" t="str">
        <v>Proyecto Solar</v>
      </c>
      <c r="B14" s="2">
        <f>$B$5*B6</f>
        <v>0.2805909884396376</v>
      </c>
      <c r="C14" s="2">
        <f>$C$5*C6</f>
        <v>0.078125</v>
      </c>
      <c r="D14" s="2">
        <f>$D$5*D6</f>
        <v>0.1375</v>
      </c>
      <c r="E14" s="2">
        <f>$E$5*E6</f>
        <v>0.0825</v>
      </c>
      <c r="F14" s="2">
        <f>SUM(B14:E14)</f>
        <v>0.5787159884396376</v>
      </c>
    </row>
    <row r="15">
      <c r="A15" t="str">
        <v>Proyecto Logístico</v>
      </c>
      <c r="B15" s="2">
        <f>$B$5*B7</f>
        <v>0.22113775561190688</v>
      </c>
      <c r="C15" s="2">
        <f>$C$5*C7</f>
        <v>0.1875</v>
      </c>
      <c r="D15" s="2">
        <f>$D$5*D7</f>
        <v>0.25</v>
      </c>
      <c r="E15" s="2">
        <f>$E$5*E7</f>
        <v>0.12100000000000001</v>
      </c>
      <c r="F15" s="2">
        <f>SUM(B15:E15)</f>
        <v>0.7796377556119068</v>
      </c>
    </row>
    <row r="16">
      <c r="A16" t="str">
        <v>Proyecto Digital</v>
      </c>
      <c r="B16" s="2">
        <f>$B$5*B8</f>
        <v>0.3337314637204524</v>
      </c>
      <c r="C16" s="2">
        <f>$C$5*C8</f>
        <v>0.03125</v>
      </c>
      <c r="D16" s="2">
        <f>$D$5*D8</f>
        <v>0</v>
      </c>
      <c r="E16" s="2">
        <f>$E$5*E8</f>
        <v>0.142</v>
      </c>
      <c r="F16" s="2">
        <f>SUM(B16:E16)</f>
        <v>0.5069814637204524</v>
      </c>
    </row>
    <row r="17">
      <c r="A17" t="str">
        <v>Proyecto Inmobiliario</v>
      </c>
      <c r="B17" s="2">
        <f>$B$5*B9</f>
        <v>0.16325791069017645</v>
      </c>
      <c r="C17" s="2">
        <f>$C$5*C9</f>
        <v>0.21875</v>
      </c>
      <c r="D17" s="2">
        <f>$D$5*D9</f>
        <v>0.25</v>
      </c>
      <c r="E17" s="2">
        <f>$E$5*E9</f>
        <v>0.045</v>
      </c>
      <c r="F17" s="2">
        <f>SUM(B17:E17)</f>
        <v>0.6770079106901765</v>
      </c>
    </row>
    <row r="19">
      <c r="A19" t="str">
        <v>La suma de aportes coincide con la utilidad global de la sección A.</v>
      </c>
    </row>
  </sheetData>
  <hyperlinks>
    <hyperlink ref="A2" location="'Menu'!A1" tooltip="Ir al menú"/>
  </hyperlinks>
  <ignoredErrors>
    <ignoredError numberStoredAsText="1" sqref="A1:F19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cols>
    <col min="1" max="1" width="30.83203125" customWidth="1"/>
    <col min="2" max="2" width="30.83203125" customWidth="1"/>
    <col min="3" max="3" width="22.83203125" customWidth="1"/>
    <col min="4" max="4" width="22.83203125" customWidth="1"/>
    <col min="5" max="5" width="70.83203125" customWidth="1"/>
  </cols>
  <sheetData>
    <row r="1">
      <c r="A1" t="str">
        <v>Resultado de la decisión</v>
      </c>
    </row>
    <row r="2">
      <c r="A2" t="str">
        <v>Volver al menú</v>
      </c>
    </row>
    <row r="4">
      <c r="A4" t="str">
        <v>A. Clasificación de las alternativas</v>
      </c>
    </row>
    <row r="5">
      <c r="A5" t="str">
        <v>Posición</v>
      </c>
      <c r="B5" t="str">
        <v>Alternativa</v>
      </c>
      <c r="C5" t="str">
        <v>Utilidad global</v>
      </c>
      <c r="D5" t="str">
        <v>Diferencia con la primera</v>
      </c>
    </row>
    <row r="6">
      <c r="A6" s="1">
        <v>1</v>
      </c>
      <c r="B6" t="str">
        <v>Proyecto Logístico</v>
      </c>
      <c r="C6" s="2">
        <f>'Agregacion'!F7</f>
        <v>0.7796377556119068</v>
      </c>
      <c r="D6" s="2">
        <f>$C$6-C6</f>
        <v>0</v>
      </c>
    </row>
    <row r="7">
      <c r="A7" s="1">
        <v>2</v>
      </c>
      <c r="B7" t="str">
        <v>Proyecto Inmobiliario</v>
      </c>
      <c r="C7" s="2">
        <f>'Agregacion'!F9</f>
        <v>0.6770079106901765</v>
      </c>
      <c r="D7" s="2">
        <f>$C$6-C7</f>
        <v>0.10262984492173033</v>
      </c>
    </row>
    <row r="8">
      <c r="A8" s="1">
        <v>3</v>
      </c>
      <c r="B8" t="str">
        <v>Proyecto Solar</v>
      </c>
      <c r="C8" s="2">
        <f>'Agregacion'!F6</f>
        <v>0.5787159884396376</v>
      </c>
      <c r="D8" s="2">
        <f>$C$6-C8</f>
        <v>0.20092176717226928</v>
      </c>
    </row>
    <row r="9">
      <c r="A9" s="1">
        <v>4</v>
      </c>
      <c r="B9" t="str">
        <v>Proyecto Digital</v>
      </c>
      <c r="C9" s="2">
        <f>'Agregacion'!F8</f>
        <v>0.5069814637204524</v>
      </c>
      <c r="D9" s="2">
        <f>$C$6-C9</f>
        <v>0.27265629189145446</v>
      </c>
    </row>
    <row r="12">
      <c r="A12" t="str">
        <v>B. Estabilidad de la recomendación (un criterio a la vez)</v>
      </c>
    </row>
    <row r="13">
      <c r="A13" t="str">
        <v>Criterio</v>
      </c>
      <c r="B13" t="str">
        <v>Peso actual</v>
      </c>
      <c r="C13" t="str">
        <v>Peso mínimo con la misma ganadora</v>
      </c>
      <c r="D13" t="str">
        <v>Peso máximo con la misma ganadora</v>
      </c>
      <c r="E13" t="str">
        <v>Fuera de ese intervalo</v>
      </c>
    </row>
    <row r="14">
      <c r="A14" t="str">
        <v>TIR</v>
      </c>
      <c r="B14" s="2">
        <v>0.35</v>
      </c>
      <c r="C14" s="2">
        <v>0</v>
      </c>
      <c r="D14" s="2">
        <v>0.6481842588035202</v>
      </c>
      <c r="E14" t="str">
        <v>Con más de 64,82 % lidera Proyecto Digital.</v>
      </c>
    </row>
    <row r="15">
      <c r="A15" t="str">
        <v>Inversión inicial</v>
      </c>
      <c r="B15" s="2">
        <v>0.25</v>
      </c>
      <c r="C15" s="2">
        <v>0</v>
      </c>
      <c r="D15" s="2">
        <v>0.588147151652124</v>
      </c>
      <c r="E15" t="str">
        <v>Con más de 58,81 % lidera Proyecto Inmobiliario.</v>
      </c>
    </row>
    <row r="16">
      <c r="A16" t="str">
        <v>Riesgo</v>
      </c>
      <c r="B16" s="2">
        <v>0.25</v>
      </c>
      <c r="C16" s="2">
        <v>0</v>
      </c>
      <c r="D16" s="2">
        <v>1</v>
      </c>
      <c r="E16" t="str">
        <v>El liderazgo no cambia con ningún peso de este criterio.</v>
      </c>
    </row>
    <row r="17">
      <c r="A17" t="str">
        <v>Plazo de recuperación</v>
      </c>
      <c r="B17" s="2">
        <v>0.15</v>
      </c>
      <c r="C17" s="2">
        <v>0</v>
      </c>
      <c r="D17" s="2">
        <v>0.7116244139776697</v>
      </c>
      <c r="E17" t="str">
        <v>Con más de 71,16 % lidera Proyecto Digital.</v>
      </c>
    </row>
    <row r="19">
      <c r="A19" t="str">
        <v>C. Dominancia</v>
      </c>
    </row>
    <row r="20">
      <c r="A20" t="str">
        <v>Ninguna alternativa está dominada.</v>
      </c>
    </row>
    <row r="22">
      <c r="A22" t="str">
        <v>Al variar el peso de un criterio, los demás se ajustan en proporción para seguir sumando 1 y las utilidades no cambian.</v>
      </c>
    </row>
  </sheetData>
  <hyperlinks>
    <hyperlink ref="A2" location="'Menu'!A1" tooltip="Ir al menú"/>
  </hyperlinks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Menu</vt:lpstr>
      <vt:lpstr>Criterios</vt:lpstr>
      <vt:lpstr>Desempeno</vt:lpstr>
      <vt:lpstr>U01_TIR</vt:lpstr>
      <vt:lpstr>U02_Inversión inicial</vt:lpstr>
      <vt:lpstr>U03_Riesgo</vt:lpstr>
      <vt:lpstr>U04_Plazo de recuperación</vt:lpstr>
      <vt:lpstr>Agregacion</vt:lpstr>
      <vt:lpstr>Resultado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Sergio Gómez Rueda</dc:creator>
  <dc:description>Este aplicativo fue desarrollado por Mario Sergio Gómez Rueda. Su uso es de carácter académico y cualquier otro uso se regirá por el derecho de la propiedad intelectual. Sugerencias o dudas: mgomezr1@gmail.com</dc:description>
  <dc:title>Axía MAUT: resultados</dc:title>
</cp:coreProperties>
</file>